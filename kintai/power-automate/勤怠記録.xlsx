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集計" sheetId="1" state="visible" r:id="rId1"/>
    <sheet xmlns:r="http://schemas.openxmlformats.org/officeDocument/2006/relationships" name="打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808080"/>
    </font>
    <font>
      <b val="1"/>
      <color rgb="00FFFFFF"/>
    </font>
    <font>
      <color rgb="00606060"/>
    </font>
  </fonts>
  <fills count="4">
    <fill>
      <patternFill/>
    </fill>
    <fill>
      <patternFill patternType="gray125"/>
    </fill>
    <fill>
      <patternFill patternType="solid">
        <fgColor rgb="00FFF7DB"/>
      </patternFill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" fontId="0" fillId="2" borderId="1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dxfs count="1">
    <dxf>
      <font>
        <b val="1"/>
        <color rgb="00C2410C"/>
      </font>
      <fill>
        <patternFill patternType="solid">
          <fgColor rgb="00FDE2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打刻" displayName="打刻" ref="A1:K2" headerRowCount="1">
  <autoFilter ref="A1:K2"/>
  <tableColumns count="11">
    <tableColumn id="1" name="Key"/>
    <tableColumn id="2" name="日付"/>
    <tableColumn id="3" name="時刻"/>
    <tableColumn id="4" name="年月"/>
    <tableColumn id="5" name="名前"/>
    <tableColumn id="6" name="メール"/>
    <tableColumn id="7" name="種類"/>
    <tableColumn id="8" name="初回"/>
    <tableColumn id="9" name="遅刻分"/>
    <tableColumn id="10" name="記録日時"/>
    <tableColumn id="11" name="備考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1" customWidth="1" min="3" max="3"/>
    <col width="11" customWidth="1" min="4" max="4"/>
    <col width="13" customWidth="1" min="5" max="5"/>
    <col width="30" customWidth="1" min="6" max="6"/>
  </cols>
  <sheetData>
    <row r="1">
      <c r="A1" s="1" t="inlineStr">
        <is>
          <t>月次集計</t>
        </is>
      </c>
    </row>
    <row r="3">
      <c r="A3" t="inlineStr">
        <is>
          <t>集計する月（例：202610 ＝ 2026年10月）</t>
        </is>
      </c>
      <c r="B3" s="2" t="n">
        <v>202610</v>
      </c>
      <c r="C3" s="3" t="inlineStr">
        <is>
          <t>← 黄色のセルを変えると切り替わります</t>
        </is>
      </c>
    </row>
    <row r="5">
      <c r="A5" s="4" t="inlineStr">
        <is>
          <t>メール（職員ごとに入力）</t>
        </is>
      </c>
      <c r="B5" s="4" t="inlineStr">
        <is>
          <t>名前</t>
        </is>
      </c>
      <c r="C5" s="4" t="inlineStr">
        <is>
          <t>出勤日数</t>
        </is>
      </c>
      <c r="D5" s="4" t="inlineStr">
        <is>
          <t>遅刻回数</t>
        </is>
      </c>
      <c r="E5" s="4" t="inlineStr">
        <is>
          <t>遅刻合計(分)</t>
        </is>
      </c>
      <c r="F5" s="4" t="inlineStr">
        <is>
          <t>メモ</t>
        </is>
      </c>
    </row>
    <row r="6">
      <c r="A6" s="5" t="n"/>
      <c r="B6" s="6">
        <f>IF($A6="","",IFERROR(INDEX(打刻!E:E,MATCH($A6,打刻!F:F,0)),"（記録なし）"))</f>
        <v/>
      </c>
      <c r="C6" s="7">
        <f>IF($A6="","",COUNTIFS(打刻!F:F,$A6,打刻!D:D,$B$3,打刻!G:G,"出勤",打刻!H:H,"○"))</f>
        <v/>
      </c>
      <c r="D6" s="7">
        <f>IF($A6="","",COUNTIFS(打刻!F:F,$A6,打刻!D:D,$B$3,打刻!G:G,"出勤",打刻!H:H,"○",打刻!I:I,"&gt;0"))</f>
        <v/>
      </c>
      <c r="E6" s="7">
        <f>IF($A6="","",SUMIFS(打刻!I:I,打刻!F:F,$A6,打刻!D:D,$B$3,打刻!G:G,"出勤",打刻!H:H,"○"))</f>
        <v/>
      </c>
      <c r="F6" s="6" t="n"/>
    </row>
    <row r="7">
      <c r="A7" s="5" t="n"/>
      <c r="B7" s="6">
        <f>IF($A7="","",IFERROR(INDEX(打刻!E:E,MATCH($A7,打刻!F:F,0)),"（記録なし）"))</f>
        <v/>
      </c>
      <c r="C7" s="7">
        <f>IF($A7="","",COUNTIFS(打刻!F:F,$A7,打刻!D:D,$B$3,打刻!G:G,"出勤",打刻!H:H,"○"))</f>
        <v/>
      </c>
      <c r="D7" s="7">
        <f>IF($A7="","",COUNTIFS(打刻!F:F,$A7,打刻!D:D,$B$3,打刻!G:G,"出勤",打刻!H:H,"○",打刻!I:I,"&gt;0"))</f>
        <v/>
      </c>
      <c r="E7" s="7">
        <f>IF($A7="","",SUMIFS(打刻!I:I,打刻!F:F,$A7,打刻!D:D,$B$3,打刻!G:G,"出勤",打刻!H:H,"○"))</f>
        <v/>
      </c>
      <c r="F7" s="6" t="n"/>
    </row>
    <row r="8">
      <c r="A8" s="5" t="n"/>
      <c r="B8" s="6">
        <f>IF($A8="","",IFERROR(INDEX(打刻!E:E,MATCH($A8,打刻!F:F,0)),"（記録なし）"))</f>
        <v/>
      </c>
      <c r="C8" s="7">
        <f>IF($A8="","",COUNTIFS(打刻!F:F,$A8,打刻!D:D,$B$3,打刻!G:G,"出勤",打刻!H:H,"○"))</f>
        <v/>
      </c>
      <c r="D8" s="7">
        <f>IF($A8="","",COUNTIFS(打刻!F:F,$A8,打刻!D:D,$B$3,打刻!G:G,"出勤",打刻!H:H,"○",打刻!I:I,"&gt;0"))</f>
        <v/>
      </c>
      <c r="E8" s="7">
        <f>IF($A8="","",SUMIFS(打刻!I:I,打刻!F:F,$A8,打刻!D:D,$B$3,打刻!G:G,"出勤",打刻!H:H,"○"))</f>
        <v/>
      </c>
      <c r="F8" s="6" t="n"/>
    </row>
    <row r="9">
      <c r="A9" s="5" t="n"/>
      <c r="B9" s="6">
        <f>IF($A9="","",IFERROR(INDEX(打刻!E:E,MATCH($A9,打刻!F:F,0)),"（記録なし）"))</f>
        <v/>
      </c>
      <c r="C9" s="7">
        <f>IF($A9="","",COUNTIFS(打刻!F:F,$A9,打刻!D:D,$B$3,打刻!G:G,"出勤",打刻!H:H,"○"))</f>
        <v/>
      </c>
      <c r="D9" s="7">
        <f>IF($A9="","",COUNTIFS(打刻!F:F,$A9,打刻!D:D,$B$3,打刻!G:G,"出勤",打刻!H:H,"○",打刻!I:I,"&gt;0"))</f>
        <v/>
      </c>
      <c r="E9" s="7">
        <f>IF($A9="","",SUMIFS(打刻!I:I,打刻!F:F,$A9,打刻!D:D,$B$3,打刻!G:G,"出勤",打刻!H:H,"○"))</f>
        <v/>
      </c>
      <c r="F9" s="6" t="n"/>
    </row>
    <row r="10">
      <c r="A10" s="5" t="n"/>
      <c r="B10" s="6">
        <f>IF($A10="","",IFERROR(INDEX(打刻!E:E,MATCH($A10,打刻!F:F,0)),"（記録なし）"))</f>
        <v/>
      </c>
      <c r="C10" s="7">
        <f>IF($A10="","",COUNTIFS(打刻!F:F,$A10,打刻!D:D,$B$3,打刻!G:G,"出勤",打刻!H:H,"○"))</f>
        <v/>
      </c>
      <c r="D10" s="7">
        <f>IF($A10="","",COUNTIFS(打刻!F:F,$A10,打刻!D:D,$B$3,打刻!G:G,"出勤",打刻!H:H,"○",打刻!I:I,"&gt;0"))</f>
        <v/>
      </c>
      <c r="E10" s="7">
        <f>IF($A10="","",SUMIFS(打刻!I:I,打刻!F:F,$A10,打刻!D:D,$B$3,打刻!G:G,"出勤",打刻!H:H,"○"))</f>
        <v/>
      </c>
      <c r="F10" s="6" t="n"/>
    </row>
    <row r="11">
      <c r="A11" s="5" t="n"/>
      <c r="B11" s="6">
        <f>IF($A11="","",IFERROR(INDEX(打刻!E:E,MATCH($A11,打刻!F:F,0)),"（記録なし）"))</f>
        <v/>
      </c>
      <c r="C11" s="7">
        <f>IF($A11="","",COUNTIFS(打刻!F:F,$A11,打刻!D:D,$B$3,打刻!G:G,"出勤",打刻!H:H,"○"))</f>
        <v/>
      </c>
      <c r="D11" s="7">
        <f>IF($A11="","",COUNTIFS(打刻!F:F,$A11,打刻!D:D,$B$3,打刻!G:G,"出勤",打刻!H:H,"○",打刻!I:I,"&gt;0"))</f>
        <v/>
      </c>
      <c r="E11" s="7">
        <f>IF($A11="","",SUMIFS(打刻!I:I,打刻!F:F,$A11,打刻!D:D,$B$3,打刻!G:G,"出勤",打刻!H:H,"○"))</f>
        <v/>
      </c>
      <c r="F11" s="6" t="n"/>
    </row>
    <row r="12">
      <c r="A12" s="5" t="n"/>
      <c r="B12" s="6">
        <f>IF($A12="","",IFERROR(INDEX(打刻!E:E,MATCH($A12,打刻!F:F,0)),"（記録なし）"))</f>
        <v/>
      </c>
      <c r="C12" s="7">
        <f>IF($A12="","",COUNTIFS(打刻!F:F,$A12,打刻!D:D,$B$3,打刻!G:G,"出勤",打刻!H:H,"○"))</f>
        <v/>
      </c>
      <c r="D12" s="7">
        <f>IF($A12="","",COUNTIFS(打刻!F:F,$A12,打刻!D:D,$B$3,打刻!G:G,"出勤",打刻!H:H,"○",打刻!I:I,"&gt;0"))</f>
        <v/>
      </c>
      <c r="E12" s="7">
        <f>IF($A12="","",SUMIFS(打刻!I:I,打刻!F:F,$A12,打刻!D:D,$B$3,打刻!G:G,"出勤",打刻!H:H,"○"))</f>
        <v/>
      </c>
      <c r="F12" s="6" t="n"/>
    </row>
    <row r="13">
      <c r="A13" s="5" t="n"/>
      <c r="B13" s="6">
        <f>IF($A13="","",IFERROR(INDEX(打刻!E:E,MATCH($A13,打刻!F:F,0)),"（記録なし）"))</f>
        <v/>
      </c>
      <c r="C13" s="7">
        <f>IF($A13="","",COUNTIFS(打刻!F:F,$A13,打刻!D:D,$B$3,打刻!G:G,"出勤",打刻!H:H,"○"))</f>
        <v/>
      </c>
      <c r="D13" s="7">
        <f>IF($A13="","",COUNTIFS(打刻!F:F,$A13,打刻!D:D,$B$3,打刻!G:G,"出勤",打刻!H:H,"○",打刻!I:I,"&gt;0"))</f>
        <v/>
      </c>
      <c r="E13" s="7">
        <f>IF($A13="","",SUMIFS(打刻!I:I,打刻!F:F,$A13,打刻!D:D,$B$3,打刻!G:G,"出勤",打刻!H:H,"○"))</f>
        <v/>
      </c>
      <c r="F13" s="6" t="n"/>
    </row>
    <row r="14">
      <c r="A14" s="5" t="n"/>
      <c r="B14" s="6">
        <f>IF($A14="","",IFERROR(INDEX(打刻!E:E,MATCH($A14,打刻!F:F,0)),"（記録なし）"))</f>
        <v/>
      </c>
      <c r="C14" s="7">
        <f>IF($A14="","",COUNTIFS(打刻!F:F,$A14,打刻!D:D,$B$3,打刻!G:G,"出勤",打刻!H:H,"○"))</f>
        <v/>
      </c>
      <c r="D14" s="7">
        <f>IF($A14="","",COUNTIFS(打刻!F:F,$A14,打刻!D:D,$B$3,打刻!G:G,"出勤",打刻!H:H,"○",打刻!I:I,"&gt;0"))</f>
        <v/>
      </c>
      <c r="E14" s="7">
        <f>IF($A14="","",SUMIFS(打刻!I:I,打刻!F:F,$A14,打刻!D:D,$B$3,打刻!G:G,"出勤",打刻!H:H,"○"))</f>
        <v/>
      </c>
      <c r="F14" s="6" t="n"/>
    </row>
    <row r="15">
      <c r="A15" s="5" t="n"/>
      <c r="B15" s="6">
        <f>IF($A15="","",IFERROR(INDEX(打刻!E:E,MATCH($A15,打刻!F:F,0)),"（記録なし）"))</f>
        <v/>
      </c>
      <c r="C15" s="7">
        <f>IF($A15="","",COUNTIFS(打刻!F:F,$A15,打刻!D:D,$B$3,打刻!G:G,"出勤",打刻!H:H,"○"))</f>
        <v/>
      </c>
      <c r="D15" s="7">
        <f>IF($A15="","",COUNTIFS(打刻!F:F,$A15,打刻!D:D,$B$3,打刻!G:G,"出勤",打刻!H:H,"○",打刻!I:I,"&gt;0"))</f>
        <v/>
      </c>
      <c r="E15" s="7">
        <f>IF($A15="","",SUMIFS(打刻!I:I,打刻!F:F,$A15,打刻!D:D,$B$3,打刻!G:G,"出勤",打刻!H:H,"○"))</f>
        <v/>
      </c>
      <c r="F15" s="6" t="n"/>
    </row>
    <row r="17">
      <c r="A17" s="8" t="inlineStr">
        <is>
          <t>・出勤日数／遅刻は、その日の最初の「出勤」で判定します（2回送っても二重には数えません）。</t>
        </is>
      </c>
    </row>
    <row r="18">
      <c r="A18" s="8" t="inlineStr">
        <is>
          <t>・記録の修正は「打刻」シートを直接書き換え、「備考」に理由を書いてください。</t>
        </is>
      </c>
    </row>
    <row r="19">
      <c r="A19" s="8" t="inlineStr">
        <is>
          <t>・このファイルは誰にも共有しないでください。職員は自分の分も含めて見られません。</t>
        </is>
      </c>
    </row>
  </sheetData>
  <conditionalFormatting sqref="D6:D15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" customWidth="1" min="3" max="3"/>
    <col width="10" customWidth="1" min="4" max="4"/>
    <col width="14" customWidth="1" min="5" max="5"/>
    <col width="30" customWidth="1" min="6" max="6"/>
    <col width="7" customWidth="1" min="7" max="7"/>
    <col width="6" customWidth="1" min="8" max="8"/>
    <col width="8" customWidth="1" min="9" max="9"/>
    <col width="20" customWidth="1" min="10" max="10"/>
    <col width="30" customWidth="1" min="11" max="11"/>
  </cols>
  <sheetData>
    <row r="1">
      <c r="A1" t="inlineStr">
        <is>
          <t>Key</t>
        </is>
      </c>
      <c r="B1" t="inlineStr">
        <is>
          <t>日付</t>
        </is>
      </c>
      <c r="C1" t="inlineStr">
        <is>
          <t>時刻</t>
        </is>
      </c>
      <c r="D1" t="inlineStr">
        <is>
          <t>年月</t>
        </is>
      </c>
      <c r="E1" t="inlineStr">
        <is>
          <t>名前</t>
        </is>
      </c>
      <c r="F1" t="inlineStr">
        <is>
          <t>メール</t>
        </is>
      </c>
      <c r="G1" t="inlineStr">
        <is>
          <t>種類</t>
        </is>
      </c>
      <c r="H1" t="inlineStr">
        <is>
          <t>初回</t>
        </is>
      </c>
      <c r="I1" t="inlineStr">
        <is>
          <t>遅刻分</t>
        </is>
      </c>
      <c r="J1" t="inlineStr">
        <is>
          <t>記録日時</t>
        </is>
      </c>
      <c r="K1" t="inlineStr">
        <is>
          <t>備考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2026-10-19T20:36:54Z</dcterms:created>
  <dcterms:modified xmlns:dcterms="http://purl.org/dc/terms/" xmlns:xsi="http://www.w3.org/2001/XMLSchema-instance" xsi:type="dcterms:W3CDTF">2026-10-19T20:36:54Z</dcterms:modified>
</cp:coreProperties>
</file>